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\Documents\Anu DA\Excel\"/>
    </mc:Choice>
  </mc:AlternateContent>
  <xr:revisionPtr revIDLastSave="0" documentId="13_ncr:1_{8E96E46D-1325-4BC7-A9A6-19B923DBF0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ct" sheetId="1" r:id="rId1"/>
    <sheet name="Pivot" sheetId="3" r:id="rId2"/>
    <sheet name="Dashboard" sheetId="4" r:id="rId3"/>
  </sheets>
  <calcPr calcId="0"/>
  <pivotCaches>
    <pivotCache cacheId="0" r:id="rId4"/>
    <pivotCache cacheId="6" r:id="rId5"/>
  </pivotCaches>
</workbook>
</file>

<file path=xl/sharedStrings.xml><?xml version="1.0" encoding="utf-8"?>
<sst xmlns="http://schemas.openxmlformats.org/spreadsheetml/2006/main" count="181" uniqueCount="68">
  <si>
    <t>Date</t>
  </si>
  <si>
    <t>Category</t>
  </si>
  <si>
    <t>Subcategory</t>
  </si>
  <si>
    <t>Description</t>
  </si>
  <si>
    <t>Amount</t>
  </si>
  <si>
    <t>Income</t>
  </si>
  <si>
    <t>Paycheck</t>
  </si>
  <si>
    <t>Salary</t>
  </si>
  <si>
    <t>Housing</t>
  </si>
  <si>
    <t>Rent</t>
  </si>
  <si>
    <t>Monthly Rent Payment</t>
  </si>
  <si>
    <t>Utilities</t>
  </si>
  <si>
    <t>Electricity</t>
  </si>
  <si>
    <t>Electric Bill</t>
  </si>
  <si>
    <t>Internet</t>
  </si>
  <si>
    <t>Monthly Internet Bill</t>
  </si>
  <si>
    <t>Food</t>
  </si>
  <si>
    <t>Groceries</t>
  </si>
  <si>
    <t>Weekly Groceries</t>
  </si>
  <si>
    <t>Transportation</t>
  </si>
  <si>
    <t>Gas/Fuel</t>
  </si>
  <si>
    <t>Fill Up Car</t>
  </si>
  <si>
    <t>Dining Out</t>
  </si>
  <si>
    <t>Lunch with Coworkers</t>
  </si>
  <si>
    <t>Personal</t>
  </si>
  <si>
    <t>Subscriptions</t>
  </si>
  <si>
    <t>Streaming Service</t>
  </si>
  <si>
    <t>Coffee</t>
  </si>
  <si>
    <t>Morning Coffee</t>
  </si>
  <si>
    <t>Entertainment</t>
  </si>
  <si>
    <t>Movies</t>
  </si>
  <si>
    <t>Movie Tickets</t>
  </si>
  <si>
    <t>Quick Grocery Run</t>
  </si>
  <si>
    <t>Public Transit</t>
  </si>
  <si>
    <t>Bus Fare</t>
  </si>
  <si>
    <t>Household</t>
  </si>
  <si>
    <t>Supplies</t>
  </si>
  <si>
    <t>Cleaning Supplies</t>
  </si>
  <si>
    <t>Shopping</t>
  </si>
  <si>
    <t>New Shoes</t>
  </si>
  <si>
    <t>Other</t>
  </si>
  <si>
    <t>Freelance Gig</t>
  </si>
  <si>
    <t>Health</t>
  </si>
  <si>
    <t>Pharmacy</t>
  </si>
  <si>
    <t>Prescription</t>
  </si>
  <si>
    <t>Dinner with Friends</t>
  </si>
  <si>
    <t>Concert</t>
  </si>
  <si>
    <t>Concert Ticket</t>
  </si>
  <si>
    <t>Music Streaming</t>
  </si>
  <si>
    <t>Weekend Groceries</t>
  </si>
  <si>
    <t>Car Maintenance</t>
  </si>
  <si>
    <t>Oil Change</t>
  </si>
  <si>
    <t>Pet</t>
  </si>
  <si>
    <t>Dog Food</t>
  </si>
  <si>
    <t>Thanksgiving Dinner</t>
  </si>
  <si>
    <t>Black Friday Deals</t>
  </si>
  <si>
    <t>Savings</t>
  </si>
  <si>
    <t>Transfer</t>
  </si>
  <si>
    <t>Transfer to Savings</t>
  </si>
  <si>
    <t>Grand Total</t>
  </si>
  <si>
    <t>Sum of Amount</t>
  </si>
  <si>
    <t>Type</t>
  </si>
  <si>
    <t>Expense</t>
  </si>
  <si>
    <t>Summary of November</t>
  </si>
  <si>
    <t>Expense by Category</t>
  </si>
  <si>
    <t>Expense by Subcategory</t>
  </si>
  <si>
    <t>Income Vs Expense</t>
  </si>
  <si>
    <t>Financial Tracker for the Month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</si>
</sst>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&quot;$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26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165" fontId="0" fillId="0" borderId="2" xfId="0" applyNumberFormat="1" applyBorder="1"/>
    <xf numFmtId="0" fontId="0" fillId="0" borderId="5" xfId="0" applyBorder="1"/>
    <xf numFmtId="165" fontId="0" fillId="0" borderId="3" xfId="0" applyNumberFormat="1" applyBorder="1"/>
    <xf numFmtId="0" fontId="0" fillId="0" borderId="6" xfId="0" applyBorder="1"/>
    <xf numFmtId="165" fontId="0" fillId="0" borderId="4" xfId="0" applyNumberFormat="1" applyBorder="1"/>
    <xf numFmtId="0" fontId="3" fillId="0" borderId="0" xfId="0" applyFont="1"/>
    <xf numFmtId="0" fontId="2" fillId="0" borderId="0" xfId="0" applyFont="1"/>
    <xf numFmtId="0" fontId="0" fillId="0" borderId="2" xfId="0" pivotButton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3" xfId="0" applyNumberFormat="1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nov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 budget.xlsx]Pivot!PivotTable9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of October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Pivot!$A$27:$A$37</c:f>
              <c:strCache>
                <c:ptCount val="10"/>
                <c:pt idx="0">
                  <c:v>Entertainment</c:v>
                </c:pt>
                <c:pt idx="1">
                  <c:v>Food</c:v>
                </c:pt>
                <c:pt idx="2">
                  <c:v>Health</c:v>
                </c:pt>
                <c:pt idx="3">
                  <c:v>Household</c:v>
                </c:pt>
                <c:pt idx="4">
                  <c:v>Housing</c:v>
                </c:pt>
                <c:pt idx="5">
                  <c:v>Income</c:v>
                </c:pt>
                <c:pt idx="6">
                  <c:v>Personal</c:v>
                </c:pt>
                <c:pt idx="7">
                  <c:v>Savings</c:v>
                </c:pt>
                <c:pt idx="8">
                  <c:v>Transportation</c:v>
                </c:pt>
                <c:pt idx="9">
                  <c:v>Utilities</c:v>
                </c:pt>
              </c:strCache>
            </c:strRef>
          </c:cat>
          <c:val>
            <c:numRef>
              <c:f>Pivot!$B$27:$B$37</c:f>
              <c:numCache>
                <c:formatCode>"$"#,##0.00</c:formatCode>
                <c:ptCount val="10"/>
                <c:pt idx="0">
                  <c:v>142</c:v>
                </c:pt>
                <c:pt idx="1">
                  <c:v>716.9</c:v>
                </c:pt>
                <c:pt idx="2">
                  <c:v>15</c:v>
                </c:pt>
                <c:pt idx="3">
                  <c:v>73.5</c:v>
                </c:pt>
                <c:pt idx="4">
                  <c:v>1200</c:v>
                </c:pt>
                <c:pt idx="5">
                  <c:v>5350</c:v>
                </c:pt>
                <c:pt idx="6">
                  <c:v>339.62</c:v>
                </c:pt>
                <c:pt idx="7">
                  <c:v>500</c:v>
                </c:pt>
                <c:pt idx="8">
                  <c:v>187.3</c:v>
                </c:pt>
                <c:pt idx="9">
                  <c:v>135.5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2-40C6-8EC3-C7BD53037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[home budget.xlsx]Pivot!PivotTable8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4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34A853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Expense</c:v>
                </c:pt>
              </c:strCache>
            </c:strRef>
          </c:tx>
          <c:spPr>
            <a:pattFill prst="ltUpDiag">
              <a:fgClr>
                <a:schemeClr val="accent4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34A853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Pivot!$A$5:$A$14</c:f>
              <c:strCache>
                <c:ptCount val="9"/>
                <c:pt idx="0">
                  <c:v>Entertainment</c:v>
                </c:pt>
                <c:pt idx="1">
                  <c:v>Food</c:v>
                </c:pt>
                <c:pt idx="2">
                  <c:v>Health</c:v>
                </c:pt>
                <c:pt idx="3">
                  <c:v>Household</c:v>
                </c:pt>
                <c:pt idx="4">
                  <c:v>Housing</c:v>
                </c:pt>
                <c:pt idx="5">
                  <c:v>Personal</c:v>
                </c:pt>
                <c:pt idx="6">
                  <c:v>Savings</c:v>
                </c:pt>
                <c:pt idx="7">
                  <c:v>Transportation</c:v>
                </c:pt>
                <c:pt idx="8">
                  <c:v>Utilities</c:v>
                </c:pt>
              </c:strCache>
            </c:strRef>
          </c:cat>
          <c:val>
            <c:numRef>
              <c:f>Pivot!$B$5:$B$14</c:f>
              <c:numCache>
                <c:formatCode>"$"#,##0.00</c:formatCode>
                <c:ptCount val="9"/>
                <c:pt idx="0">
                  <c:v>142</c:v>
                </c:pt>
                <c:pt idx="1">
                  <c:v>716.9</c:v>
                </c:pt>
                <c:pt idx="2">
                  <c:v>15</c:v>
                </c:pt>
                <c:pt idx="3">
                  <c:v>73.5</c:v>
                </c:pt>
                <c:pt idx="4">
                  <c:v>1200</c:v>
                </c:pt>
                <c:pt idx="5">
                  <c:v>339.62</c:v>
                </c:pt>
                <c:pt idx="6">
                  <c:v>500</c:v>
                </c:pt>
                <c:pt idx="7">
                  <c:v>187.3</c:v>
                </c:pt>
                <c:pt idx="8">
                  <c:v>135.5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0-42D0-9773-D6AEE2D068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559195951"/>
        <c:axId val="1559199791"/>
      </c:barChart>
      <c:catAx>
        <c:axId val="155919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99791"/>
        <c:crosses val="autoZero"/>
        <c:auto val="1"/>
        <c:lblAlgn val="ctr"/>
        <c:lblOffset val="100"/>
        <c:noMultiLvlLbl val="0"/>
      </c:catAx>
      <c:valAx>
        <c:axId val="1559199791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9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[home budget.xlsx]Pivot!PivotTable1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Expense by 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Pivot!$G$3:$G$4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Pivot!$F$5:$F$22</c:f>
              <c:strCache>
                <c:ptCount val="17"/>
                <c:pt idx="0">
                  <c:v>Car Maintenance</c:v>
                </c:pt>
                <c:pt idx="1">
                  <c:v>Coffee</c:v>
                </c:pt>
                <c:pt idx="2">
                  <c:v>Concert</c:v>
                </c:pt>
                <c:pt idx="3">
                  <c:v>Dining Out</c:v>
                </c:pt>
                <c:pt idx="4">
                  <c:v>Electricity</c:v>
                </c:pt>
                <c:pt idx="5">
                  <c:v>Gas/Fuel</c:v>
                </c:pt>
                <c:pt idx="6">
                  <c:v>Groceries</c:v>
                </c:pt>
                <c:pt idx="7">
                  <c:v>Internet</c:v>
                </c:pt>
                <c:pt idx="8">
                  <c:v>Movies</c:v>
                </c:pt>
                <c:pt idx="9">
                  <c:v>Pet</c:v>
                </c:pt>
                <c:pt idx="10">
                  <c:v>Pharmacy</c:v>
                </c:pt>
                <c:pt idx="11">
                  <c:v>Public Transit</c:v>
                </c:pt>
                <c:pt idx="12">
                  <c:v>Rent</c:v>
                </c:pt>
                <c:pt idx="13">
                  <c:v>Shopping</c:v>
                </c:pt>
                <c:pt idx="14">
                  <c:v>Subscriptions</c:v>
                </c:pt>
                <c:pt idx="15">
                  <c:v>Supplies</c:v>
                </c:pt>
                <c:pt idx="16">
                  <c:v>Transfer</c:v>
                </c:pt>
              </c:strCache>
            </c:strRef>
          </c:cat>
          <c:val>
            <c:numRef>
              <c:f>Pivot!$G$5:$G$22</c:f>
              <c:numCache>
                <c:formatCode>General</c:formatCode>
                <c:ptCount val="17"/>
                <c:pt idx="0">
                  <c:v>70</c:v>
                </c:pt>
                <c:pt idx="1">
                  <c:v>11.5</c:v>
                </c:pt>
                <c:pt idx="2">
                  <c:v>110</c:v>
                </c:pt>
                <c:pt idx="3">
                  <c:v>236</c:v>
                </c:pt>
                <c:pt idx="4">
                  <c:v>75.5</c:v>
                </c:pt>
                <c:pt idx="5">
                  <c:v>107.3</c:v>
                </c:pt>
                <c:pt idx="6">
                  <c:v>480.9</c:v>
                </c:pt>
                <c:pt idx="7">
                  <c:v>60</c:v>
                </c:pt>
                <c:pt idx="8">
                  <c:v>32</c:v>
                </c:pt>
                <c:pt idx="9">
                  <c:v>45</c:v>
                </c:pt>
                <c:pt idx="10">
                  <c:v>15</c:v>
                </c:pt>
                <c:pt idx="11">
                  <c:v>10</c:v>
                </c:pt>
                <c:pt idx="12">
                  <c:v>1200</c:v>
                </c:pt>
                <c:pt idx="13">
                  <c:v>300.14</c:v>
                </c:pt>
                <c:pt idx="14">
                  <c:v>27.979999999999997</c:v>
                </c:pt>
                <c:pt idx="15">
                  <c:v>28.5</c:v>
                </c:pt>
                <c:pt idx="1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3-44A5-8AE9-71D202EDCF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559180111"/>
        <c:axId val="1559192111"/>
      </c:barChart>
      <c:catAx>
        <c:axId val="155918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92111"/>
        <c:crosses val="autoZero"/>
        <c:auto val="1"/>
        <c:lblAlgn val="ctr"/>
        <c:lblOffset val="100"/>
        <c:noMultiLvlLbl val="0"/>
      </c:catAx>
      <c:valAx>
        <c:axId val="155919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801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 budget.xlsx]Pivot!PivotTable2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Pivot!$E$27:$E$29</c:f>
              <c:strCache>
                <c:ptCount val="2"/>
                <c:pt idx="0">
                  <c:v>Expense</c:v>
                </c:pt>
                <c:pt idx="1">
                  <c:v>Income</c:v>
                </c:pt>
              </c:strCache>
            </c:strRef>
          </c:cat>
          <c:val>
            <c:numRef>
              <c:f>Pivot!$F$27:$F$29</c:f>
              <c:numCache>
                <c:formatCode>General</c:formatCode>
                <c:ptCount val="2"/>
                <c:pt idx="0">
                  <c:v>3309.8199999999997</c:v>
                </c:pt>
                <c:pt idx="1">
                  <c:v>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6-48FE-A855-6FDE7C279F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9366271"/>
        <c:axId val="1749358591"/>
      </c:barChart>
      <c:catAx>
        <c:axId val="174936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358591"/>
        <c:crosses val="autoZero"/>
        <c:auto val="1"/>
        <c:lblAlgn val="ctr"/>
        <c:lblOffset val="100"/>
        <c:noMultiLvlLbl val="0"/>
      </c:catAx>
      <c:valAx>
        <c:axId val="17493585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36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2</xdr:row>
      <xdr:rowOff>148590</xdr:rowOff>
    </xdr:from>
    <xdr:to>
      <xdr:col>8</xdr:col>
      <xdr:colOff>220980</xdr:colOff>
      <xdr:row>19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C11F5-BAC2-C485-6BB4-930EBBAD9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3</xdr:row>
      <xdr:rowOff>11430</xdr:rowOff>
    </xdr:from>
    <xdr:to>
      <xdr:col>16</xdr:col>
      <xdr:colOff>381000</xdr:colOff>
      <xdr:row>19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839260-F01D-566E-A41F-3A523A931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586740</xdr:colOff>
      <xdr:row>22</xdr:row>
      <xdr:rowOff>3810</xdr:rowOff>
    </xdr:from>
    <xdr:to>
      <xdr:col>8</xdr:col>
      <xdr:colOff>281940</xdr:colOff>
      <xdr:row>38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42D58C-3252-A4F4-6951-76C482EAB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129540</xdr:colOff>
      <xdr:row>21</xdr:row>
      <xdr:rowOff>125730</xdr:rowOff>
    </xdr:from>
    <xdr:to>
      <xdr:col>16</xdr:col>
      <xdr:colOff>434340</xdr:colOff>
      <xdr:row>38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F7F506-70C1-9083-9D21-35375992F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0.28167</cdr:x>
      <cdr:y>0.03194</cdr:y>
    </cdr:from>
    <cdr:to>
      <cdr:x>0.725</cdr:x>
      <cdr:y>0.12083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5FB2FCD-2CE9-0AA3-CE7A-329ECED4835E}"/>
            </a:ext>
          </a:extLst>
        </cdr:cNvPr>
        <cdr:cNvSpPr txBox="1"/>
      </cdr:nvSpPr>
      <cdr:spPr>
        <a:xfrm xmlns:a="http://schemas.openxmlformats.org/drawingml/2006/main">
          <a:off x="1287780" y="87630"/>
          <a:ext cx="202692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6.920684490738" createdVersion="8" refreshedVersion="8" minRefreshableVersion="3" recordCount="29" xr:uid="{032AB901-6280-4FF2-B303-253D21075B9F}">
  <cacheSource type="worksheet">
    <worksheetSource name="Table1"/>
  </cacheSource>
  <cacheFields count="6">
    <cacheField name="Date" numFmtId="164">
      <sharedItems containsSemiMixedTypes="0" containsNonDate="0" containsDate="1" containsString="0" minDate="2025-11-01T00:00:00" maxDate="2025-12-01T00:00:00"/>
    </cacheField>
    <cacheField name="Category" numFmtId="0">
      <sharedItems count="10">
        <s v="Income"/>
        <s v="Housing"/>
        <s v="Utilities"/>
        <s v="Food"/>
        <s v="Transportation"/>
        <s v="Personal"/>
        <s v="Entertainment"/>
        <s v="Household"/>
        <s v="Health"/>
        <s v="Savings"/>
      </sharedItems>
    </cacheField>
    <cacheField name="Subcategory" numFmtId="0">
      <sharedItems count="19">
        <s v="Paycheck"/>
        <s v="Rent"/>
        <s v="Electricity"/>
        <s v="Internet"/>
        <s v="Groceries"/>
        <s v="Gas/Fuel"/>
        <s v="Dining Out"/>
        <s v="Subscriptions"/>
        <s v="Coffee"/>
        <s v="Movies"/>
        <s v="Public Transit"/>
        <s v="Supplies"/>
        <s v="Shopping"/>
        <s v="Other"/>
        <s v="Pharmacy"/>
        <s v="Concert"/>
        <s v="Car Maintenance"/>
        <s v="Pet"/>
        <s v="Transfer"/>
      </sharedItems>
    </cacheField>
    <cacheField name="Description" numFmtId="0">
      <sharedItems/>
    </cacheField>
    <cacheField name="Amount" numFmtId="165">
      <sharedItems containsSemiMixedTypes="0" containsString="0" containsNumber="1" minValue="5.75" maxValue="2500"/>
    </cacheField>
    <cacheField name="Type" numFmtId="0">
      <sharedItems count="2">
        <s v="Income"/>
        <s v="Expense"/>
      </sharedItems>
    </cacheField>
  </cacheFields>
  <extLst>
    <ext xmlns:x14="http://schemas.microsoft.com/office/spreadsheetml/2009/9/main" uri="{725AE2AE-9491-48be-B2B4-4EB974FC3084}">
      <x14:pivotCacheDefinition pivotCacheId="85772223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7.428993865738" createdVersion="8" refreshedVersion="8" minRefreshableVersion="3" recordCount="30" xr:uid="{2330B569-B2F7-41AE-B527-5856056DC233}">
  <cacheSource type="worksheet">
    <worksheetSource ref="A1:F31" sheet="Oct"/>
  </cacheSource>
  <cacheFields count="6">
    <cacheField name="Date" numFmtId="0">
      <sharedItems containsNonDate="0" containsDate="1" containsString="0" containsBlank="1" minDate="2025-11-01T00:00:00" maxDate="2025-12-01T00:00:00"/>
    </cacheField>
    <cacheField name="Category" numFmtId="0">
      <sharedItems containsBlank="1"/>
    </cacheField>
    <cacheField name="Subcategory" numFmtId="0">
      <sharedItems containsBlank="1" count="20">
        <s v="Paycheck"/>
        <s v="Rent"/>
        <s v="Electricity"/>
        <s v="Internet"/>
        <s v="Groceries"/>
        <s v="Gas/Fuel"/>
        <s v="Dining Out"/>
        <s v="Subscriptions"/>
        <s v="Coffee"/>
        <s v="Movies"/>
        <s v="Public Transit"/>
        <s v="Supplies"/>
        <s v="Shopping"/>
        <s v="Other"/>
        <s v="Pharmacy"/>
        <s v="Concert"/>
        <s v="Car Maintenance"/>
        <s v="Pet"/>
        <s v="Transfer"/>
        <m/>
      </sharedItems>
    </cacheField>
    <cacheField name="Description" numFmtId="0">
      <sharedItems containsBlank="1"/>
    </cacheField>
    <cacheField name="Amount" numFmtId="0">
      <sharedItems containsString="0" containsBlank="1" containsNumber="1" minValue="5.75" maxValue="2500"/>
    </cacheField>
    <cacheField name="Type" numFmtId="0">
      <sharedItems containsBlank="1" count="3">
        <s v="Income"/>
        <s v="Expens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25-11-01T00:00:00"/>
    <x v="0"/>
    <x v="0"/>
    <s v="Salary"/>
    <n v="2500"/>
    <x v="0"/>
  </r>
  <r>
    <d v="2025-11-01T00:00:00"/>
    <x v="1"/>
    <x v="1"/>
    <s v="Monthly Rent Payment"/>
    <n v="1200"/>
    <x v="1"/>
  </r>
  <r>
    <d v="2025-11-02T00:00:00"/>
    <x v="2"/>
    <x v="2"/>
    <s v="Electric Bill"/>
    <n v="75.5"/>
    <x v="1"/>
  </r>
  <r>
    <d v="2025-11-02T00:00:00"/>
    <x v="2"/>
    <x v="3"/>
    <s v="Monthly Internet Bill"/>
    <n v="60"/>
    <x v="1"/>
  </r>
  <r>
    <d v="2025-11-03T00:00:00"/>
    <x v="3"/>
    <x v="4"/>
    <s v="Weekly Groceries"/>
    <n v="185.2"/>
    <x v="1"/>
  </r>
  <r>
    <d v="2025-11-04T00:00:00"/>
    <x v="4"/>
    <x v="5"/>
    <s v="Fill Up Car"/>
    <n v="52"/>
    <x v="1"/>
  </r>
  <r>
    <d v="2025-11-05T00:00:00"/>
    <x v="3"/>
    <x v="6"/>
    <s v="Lunch with Coworkers"/>
    <n v="18"/>
    <x v="1"/>
  </r>
  <r>
    <d v="2025-11-05T00:00:00"/>
    <x v="5"/>
    <x v="7"/>
    <s v="Streaming Service"/>
    <n v="16.989999999999998"/>
    <x v="1"/>
  </r>
  <r>
    <d v="2025-11-06T00:00:00"/>
    <x v="5"/>
    <x v="8"/>
    <s v="Morning Coffee"/>
    <n v="5.75"/>
    <x v="1"/>
  </r>
  <r>
    <d v="2025-11-08T00:00:00"/>
    <x v="6"/>
    <x v="9"/>
    <s v="Movie Tickets"/>
    <n v="32"/>
    <x v="1"/>
  </r>
  <r>
    <d v="2025-11-10T00:00:00"/>
    <x v="3"/>
    <x v="4"/>
    <s v="Quick Grocery Run"/>
    <n v="45.1"/>
    <x v="1"/>
  </r>
  <r>
    <d v="2025-11-11T00:00:00"/>
    <x v="4"/>
    <x v="10"/>
    <s v="Bus Fare"/>
    <n v="10"/>
    <x v="1"/>
  </r>
  <r>
    <d v="2025-11-12T00:00:00"/>
    <x v="7"/>
    <x v="11"/>
    <s v="Cleaning Supplies"/>
    <n v="28.5"/>
    <x v="1"/>
  </r>
  <r>
    <d v="2025-11-14T00:00:00"/>
    <x v="5"/>
    <x v="12"/>
    <s v="New Shoes"/>
    <n v="89.99"/>
    <x v="1"/>
  </r>
  <r>
    <d v="2025-11-15T00:00:00"/>
    <x v="0"/>
    <x v="0"/>
    <s v="Salary"/>
    <n v="2500"/>
    <x v="0"/>
  </r>
  <r>
    <d v="2025-11-15T00:00:00"/>
    <x v="0"/>
    <x v="13"/>
    <s v="Freelance Gig"/>
    <n v="350"/>
    <x v="0"/>
  </r>
  <r>
    <d v="2025-11-16T00:00:00"/>
    <x v="3"/>
    <x v="4"/>
    <s v="Weekly Groceries"/>
    <n v="160.4"/>
    <x v="1"/>
  </r>
  <r>
    <d v="2025-11-17T00:00:00"/>
    <x v="8"/>
    <x v="14"/>
    <s v="Prescription"/>
    <n v="15"/>
    <x v="1"/>
  </r>
  <r>
    <d v="2025-11-18T00:00:00"/>
    <x v="4"/>
    <x v="5"/>
    <s v="Fill Up Car"/>
    <n v="55.3"/>
    <x v="1"/>
  </r>
  <r>
    <d v="2025-11-19T00:00:00"/>
    <x v="3"/>
    <x v="6"/>
    <s v="Dinner with Friends"/>
    <n v="68"/>
    <x v="1"/>
  </r>
  <r>
    <d v="2025-11-20T00:00:00"/>
    <x v="5"/>
    <x v="8"/>
    <s v="Morning Coffee"/>
    <n v="5.75"/>
    <x v="1"/>
  </r>
  <r>
    <d v="2025-11-21T00:00:00"/>
    <x v="6"/>
    <x v="15"/>
    <s v="Concert Ticket"/>
    <n v="110"/>
    <x v="1"/>
  </r>
  <r>
    <d v="2025-11-22T00:00:00"/>
    <x v="5"/>
    <x v="7"/>
    <s v="Music Streaming"/>
    <n v="10.99"/>
    <x v="1"/>
  </r>
  <r>
    <d v="2025-11-23T00:00:00"/>
    <x v="3"/>
    <x v="4"/>
    <s v="Weekend Groceries"/>
    <n v="90.2"/>
    <x v="1"/>
  </r>
  <r>
    <d v="2025-11-24T00:00:00"/>
    <x v="4"/>
    <x v="16"/>
    <s v="Oil Change"/>
    <n v="70"/>
    <x v="1"/>
  </r>
  <r>
    <d v="2025-11-25T00:00:00"/>
    <x v="7"/>
    <x v="17"/>
    <s v="Dog Food"/>
    <n v="45"/>
    <x v="1"/>
  </r>
  <r>
    <d v="2025-11-27T00:00:00"/>
    <x v="3"/>
    <x v="6"/>
    <s v="Thanksgiving Dinner"/>
    <n v="150"/>
    <x v="1"/>
  </r>
  <r>
    <d v="2025-11-28T00:00:00"/>
    <x v="5"/>
    <x v="12"/>
    <s v="Black Friday Deals"/>
    <n v="210.15"/>
    <x v="1"/>
  </r>
  <r>
    <d v="2025-11-30T00:00:00"/>
    <x v="9"/>
    <x v="18"/>
    <s v="Transfer to Savings"/>
    <n v="5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11-01T00:00:00"/>
    <s v="Income"/>
    <x v="0"/>
    <s v="Salary"/>
    <n v="2500"/>
    <x v="0"/>
  </r>
  <r>
    <d v="2025-11-01T00:00:00"/>
    <s v="Housing"/>
    <x v="1"/>
    <s v="Monthly Rent Payment"/>
    <n v="1200"/>
    <x v="1"/>
  </r>
  <r>
    <d v="2025-11-02T00:00:00"/>
    <s v="Utilities"/>
    <x v="2"/>
    <s v="Electric Bill"/>
    <n v="75.5"/>
    <x v="1"/>
  </r>
  <r>
    <d v="2025-11-02T00:00:00"/>
    <s v="Utilities"/>
    <x v="3"/>
    <s v="Monthly Internet Bill"/>
    <n v="60"/>
    <x v="1"/>
  </r>
  <r>
    <d v="2025-11-03T00:00:00"/>
    <s v="Food"/>
    <x v="4"/>
    <s v="Weekly Groceries"/>
    <n v="185.2"/>
    <x v="1"/>
  </r>
  <r>
    <d v="2025-11-04T00:00:00"/>
    <s v="Transportation"/>
    <x v="5"/>
    <s v="Fill Up Car"/>
    <n v="52"/>
    <x v="1"/>
  </r>
  <r>
    <d v="2025-11-05T00:00:00"/>
    <s v="Food"/>
    <x v="6"/>
    <s v="Lunch with Coworkers"/>
    <n v="18"/>
    <x v="1"/>
  </r>
  <r>
    <d v="2025-11-05T00:00:00"/>
    <s v="Personal"/>
    <x v="7"/>
    <s v="Streaming Service"/>
    <n v="16.989999999999998"/>
    <x v="1"/>
  </r>
  <r>
    <d v="2025-11-06T00:00:00"/>
    <s v="Personal"/>
    <x v="8"/>
    <s v="Morning Coffee"/>
    <n v="5.75"/>
    <x v="1"/>
  </r>
  <r>
    <d v="2025-11-08T00:00:00"/>
    <s v="Entertainment"/>
    <x v="9"/>
    <s v="Movie Tickets"/>
    <n v="32"/>
    <x v="1"/>
  </r>
  <r>
    <d v="2025-11-10T00:00:00"/>
    <s v="Food"/>
    <x v="4"/>
    <s v="Quick Grocery Run"/>
    <n v="45.1"/>
    <x v="1"/>
  </r>
  <r>
    <d v="2025-11-11T00:00:00"/>
    <s v="Transportation"/>
    <x v="10"/>
    <s v="Bus Fare"/>
    <n v="10"/>
    <x v="1"/>
  </r>
  <r>
    <d v="2025-11-12T00:00:00"/>
    <s v="Household"/>
    <x v="11"/>
    <s v="Cleaning Supplies"/>
    <n v="28.5"/>
    <x v="1"/>
  </r>
  <r>
    <d v="2025-11-14T00:00:00"/>
    <s v="Personal"/>
    <x v="12"/>
    <s v="New Shoes"/>
    <n v="89.99"/>
    <x v="1"/>
  </r>
  <r>
    <d v="2025-11-15T00:00:00"/>
    <s v="Income"/>
    <x v="0"/>
    <s v="Salary"/>
    <n v="2500"/>
    <x v="0"/>
  </r>
  <r>
    <d v="2025-11-15T00:00:00"/>
    <s v="Income"/>
    <x v="13"/>
    <s v="Freelance Gig"/>
    <n v="350"/>
    <x v="0"/>
  </r>
  <r>
    <d v="2025-11-16T00:00:00"/>
    <s v="Food"/>
    <x v="4"/>
    <s v="Weekly Groceries"/>
    <n v="160.4"/>
    <x v="1"/>
  </r>
  <r>
    <d v="2025-11-17T00:00:00"/>
    <s v="Health"/>
    <x v="14"/>
    <s v="Prescription"/>
    <n v="15"/>
    <x v="1"/>
  </r>
  <r>
    <d v="2025-11-18T00:00:00"/>
    <s v="Transportation"/>
    <x v="5"/>
    <s v="Fill Up Car"/>
    <n v="55.3"/>
    <x v="1"/>
  </r>
  <r>
    <d v="2025-11-19T00:00:00"/>
    <s v="Food"/>
    <x v="6"/>
    <s v="Dinner with Friends"/>
    <n v="68"/>
    <x v="1"/>
  </r>
  <r>
    <d v="2025-11-20T00:00:00"/>
    <s v="Personal"/>
    <x v="8"/>
    <s v="Morning Coffee"/>
    <n v="5.75"/>
    <x v="1"/>
  </r>
  <r>
    <d v="2025-11-21T00:00:00"/>
    <s v="Entertainment"/>
    <x v="15"/>
    <s v="Concert Ticket"/>
    <n v="110"/>
    <x v="1"/>
  </r>
  <r>
    <d v="2025-11-22T00:00:00"/>
    <s v="Personal"/>
    <x v="7"/>
    <s v="Music Streaming"/>
    <n v="10.99"/>
    <x v="1"/>
  </r>
  <r>
    <d v="2025-11-23T00:00:00"/>
    <s v="Food"/>
    <x v="4"/>
    <s v="Weekend Groceries"/>
    <n v="90.2"/>
    <x v="1"/>
  </r>
  <r>
    <d v="2025-11-24T00:00:00"/>
    <s v="Transportation"/>
    <x v="16"/>
    <s v="Oil Change"/>
    <n v="70"/>
    <x v="1"/>
  </r>
  <r>
    <d v="2025-11-25T00:00:00"/>
    <s v="Household"/>
    <x v="17"/>
    <s v="Dog Food"/>
    <n v="45"/>
    <x v="1"/>
  </r>
  <r>
    <d v="2025-11-27T00:00:00"/>
    <s v="Food"/>
    <x v="6"/>
    <s v="Thanksgiving Dinner"/>
    <n v="150"/>
    <x v="1"/>
  </r>
  <r>
    <d v="2025-11-28T00:00:00"/>
    <s v="Personal"/>
    <x v="12"/>
    <s v="Black Friday Deals"/>
    <n v="210.15"/>
    <x v="1"/>
  </r>
  <r>
    <d v="2025-11-30T00:00:00"/>
    <s v="Savings"/>
    <x v="18"/>
    <s v="Transfer to Savings"/>
    <n v="500"/>
    <x v="1"/>
  </r>
  <r>
    <m/>
    <m/>
    <x v="19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6A921-F1C5-4FE1-A4C8-CA1F2A7C6BB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3">
  <location ref="E26:F29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1"/>
        <item x="0"/>
        <item h="1"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mount" fld="4" baseField="0" baseItem="0"/>
  </dataFields>
  <chartFormats count="4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EE1B9-93D8-4C6A-84E6-1C3097910CAD}" name="PivotTable1" cacheId="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11">
  <location ref="F3:G22" firstHeaderRow="1" firstDataRow="2" firstDataCol="1"/>
  <pivotFields count="6">
    <pivotField compact="0" outline="0" showAll="0"/>
    <pivotField compact="0" outline="0" showAll="0"/>
    <pivotField axis="axisRow" compact="0" outline="0" showAll="0">
      <items count="21">
        <item x="16"/>
        <item x="8"/>
        <item x="15"/>
        <item x="6"/>
        <item x="2"/>
        <item x="5"/>
        <item x="4"/>
        <item x="3"/>
        <item x="9"/>
        <item x="13"/>
        <item x="0"/>
        <item x="17"/>
        <item x="14"/>
        <item x="10"/>
        <item x="1"/>
        <item x="12"/>
        <item x="7"/>
        <item x="11"/>
        <item x="18"/>
        <item h="1" x="19"/>
        <item t="default"/>
      </items>
    </pivotField>
    <pivotField compact="0" outline="0" showAll="0"/>
    <pivotField dataField="1" compact="0" outline="0" showAll="0"/>
    <pivotField axis="axisCol" compact="0" outline="0" showAll="0">
      <items count="4">
        <item x="1"/>
        <item h="1" x="0"/>
        <item h="1" x="2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5"/>
  </colFields>
  <colItems count="1">
    <i>
      <x/>
    </i>
  </colItems>
  <dataFields count="1">
    <dataField name="Sum of Amount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C1EB5-2235-4E48-8057-F4D1BF8ED68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6:B37" firstHeaderRow="1" firstDataRow="1" firstDataCol="1"/>
  <pivotFields count="6">
    <pivotField compact="0" numFmtId="164" outline="0" showAll="0"/>
    <pivotField axis="axisRow" compact="0" outline="0" showAll="0">
      <items count="11">
        <item x="6"/>
        <item x="3"/>
        <item x="8"/>
        <item x="7"/>
        <item x="1"/>
        <item x="0"/>
        <item x="5"/>
        <item x="9"/>
        <item x="4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4" baseField="0" baseItem="0" numFmtId="165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6D642-CE45-42E4-B0BF-ED5DAD4E4EDE}" name="PivotTable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24">
  <location ref="A3:B14" firstHeaderRow="1" firstDataRow="2" firstDataCol="1"/>
  <pivotFields count="6">
    <pivotField compact="0" numFmtId="164" outline="0" showAll="0"/>
    <pivotField axis="axisRow" compact="0" outline="0" showAll="0">
      <items count="11">
        <item x="6"/>
        <item x="3"/>
        <item x="8"/>
        <item x="7"/>
        <item x="1"/>
        <item h="1" x="0"/>
        <item x="5"/>
        <item x="9"/>
        <item x="4"/>
        <item x="2"/>
        <item t="default"/>
      </items>
    </pivotField>
    <pivotField compact="0" outline="0" showAll="0">
      <items count="20">
        <item x="16"/>
        <item x="8"/>
        <item x="15"/>
        <item x="6"/>
        <item x="2"/>
        <item x="5"/>
        <item x="4"/>
        <item x="3"/>
        <item x="9"/>
        <item x="13"/>
        <item x="0"/>
        <item x="17"/>
        <item x="14"/>
        <item x="10"/>
        <item x="1"/>
        <item x="12"/>
        <item x="7"/>
        <item x="11"/>
        <item x="18"/>
        <item t="default"/>
      </items>
    </pivotField>
    <pivotField compact="0" outline="0" showAll="0"/>
    <pivotField dataField="1" compact="0" numFmtId="165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 t="grand">
      <x/>
    </i>
  </rowItems>
  <colFields count="1">
    <field x="5"/>
  </colFields>
  <colItems count="1">
    <i>
      <x/>
    </i>
  </colItems>
  <dataFields count="1">
    <dataField name="Sum of Amount" fld="4" baseField="0" baseItem="0" numFmtId="165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0">
  <tableColumns count="6">
    <tableColumn id="1" xr3:uid="{00000000-0010-0000-0000-000001000000}" name="Date"/>
    <tableColumn id="2" xr3:uid="{00000000-0010-0000-0000-000002000000}" name="Category"/>
    <tableColumn id="3" xr3:uid="{00000000-0010-0000-0000-000003000000}" name="Subcategory"/>
    <tableColumn id="4" xr3:uid="{00000000-0010-0000-0000-000004000000}" name="Description"/>
    <tableColumn id="5" xr3:uid="{00000000-0010-0000-0000-000005000000}" name="Amount"/>
    <tableColumn id="6" xr3:uid="{1573FA86-718F-4359-B948-1E410C140982}" name="Type"/>
  </tableColumns>
  <tableStyleInfo name="nov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"/>
  <sheetViews>
    <sheetView workbookViewId="0">
      <pane ySplit="1" topLeftCell="A14" activePane="bottomLeft" state="frozen"/>
      <selection pane="bottomLeft" activeCell="C32" sqref="C32"/>
    </sheetView>
  </sheetViews>
  <sheetFormatPr defaultColWidth="12.6640625" defaultRowHeight="15.75" customHeight="1" x14ac:dyDescent="0.25"/>
  <cols>
    <col min="2" max="2" width="13.109375" customWidth="1"/>
    <col min="3" max="3" width="14.77734375" customWidth="1"/>
    <col min="4" max="4" width="22.44140625" customWidth="1"/>
    <col min="5" max="5" width="14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61</v>
      </c>
    </row>
    <row r="2" spans="1:6" x14ac:dyDescent="0.25">
      <c r="A2" s="2">
        <v>45931</v>
      </c>
      <c r="B2" s="3" t="s">
        <v>5</v>
      </c>
      <c r="C2" s="3" t="s">
        <v>6</v>
      </c>
      <c r="D2" s="3" t="s">
        <v>7</v>
      </c>
      <c r="E2" s="4">
        <v>2500</v>
      </c>
      <c r="F2" s="14" t="s">
        <v>5</v>
      </c>
    </row>
    <row r="3" spans="1:6" x14ac:dyDescent="0.25">
      <c r="A3" s="2">
        <v>45931</v>
      </c>
      <c r="B3" s="3" t="s">
        <v>8</v>
      </c>
      <c r="C3" s="3" t="s">
        <v>9</v>
      </c>
      <c r="D3" s="3" t="s">
        <v>10</v>
      </c>
      <c r="E3" s="4">
        <v>1200</v>
      </c>
      <c r="F3" s="14" t="s">
        <v>62</v>
      </c>
    </row>
    <row r="4" spans="1:6" x14ac:dyDescent="0.25">
      <c r="A4" s="2">
        <v>45932</v>
      </c>
      <c r="B4" s="3" t="s">
        <v>11</v>
      </c>
      <c r="C4" s="3" t="s">
        <v>12</v>
      </c>
      <c r="D4" s="3" t="s">
        <v>13</v>
      </c>
      <c r="E4" s="4">
        <v>75.5</v>
      </c>
      <c r="F4" s="14" t="s">
        <v>62</v>
      </c>
    </row>
    <row r="5" spans="1:6" x14ac:dyDescent="0.25">
      <c r="A5" s="2">
        <v>45932</v>
      </c>
      <c r="B5" s="3" t="s">
        <v>11</v>
      </c>
      <c r="C5" s="3" t="s">
        <v>14</v>
      </c>
      <c r="D5" s="3" t="s">
        <v>15</v>
      </c>
      <c r="E5" s="4">
        <v>60</v>
      </c>
      <c r="F5" s="14" t="s">
        <v>62</v>
      </c>
    </row>
    <row r="6" spans="1:6" x14ac:dyDescent="0.25">
      <c r="A6" s="2">
        <v>45933</v>
      </c>
      <c r="B6" s="3" t="s">
        <v>16</v>
      </c>
      <c r="C6" s="3" t="s">
        <v>17</v>
      </c>
      <c r="D6" s="3" t="s">
        <v>18</v>
      </c>
      <c r="E6" s="4">
        <v>185.2</v>
      </c>
      <c r="F6" s="14" t="s">
        <v>62</v>
      </c>
    </row>
    <row r="7" spans="1:6" x14ac:dyDescent="0.25">
      <c r="A7" s="2">
        <v>45934</v>
      </c>
      <c r="B7" s="3" t="s">
        <v>19</v>
      </c>
      <c r="C7" s="3" t="s">
        <v>20</v>
      </c>
      <c r="D7" s="3" t="s">
        <v>21</v>
      </c>
      <c r="E7" s="4">
        <v>52</v>
      </c>
      <c r="F7" s="14" t="s">
        <v>62</v>
      </c>
    </row>
    <row r="8" spans="1:6" x14ac:dyDescent="0.25">
      <c r="A8" s="2">
        <v>45935</v>
      </c>
      <c r="B8" s="3" t="s">
        <v>16</v>
      </c>
      <c r="C8" s="3" t="s">
        <v>22</v>
      </c>
      <c r="D8" s="3" t="s">
        <v>23</v>
      </c>
      <c r="E8" s="4">
        <v>18</v>
      </c>
      <c r="F8" s="14" t="s">
        <v>62</v>
      </c>
    </row>
    <row r="9" spans="1:6" x14ac:dyDescent="0.25">
      <c r="A9" s="2">
        <v>45935</v>
      </c>
      <c r="B9" s="3" t="s">
        <v>24</v>
      </c>
      <c r="C9" s="3" t="s">
        <v>25</v>
      </c>
      <c r="D9" s="3" t="s">
        <v>26</v>
      </c>
      <c r="E9" s="4">
        <v>16.989999999999998</v>
      </c>
      <c r="F9" s="14" t="s">
        <v>62</v>
      </c>
    </row>
    <row r="10" spans="1:6" x14ac:dyDescent="0.25">
      <c r="A10" s="2">
        <v>45936</v>
      </c>
      <c r="B10" s="3" t="s">
        <v>24</v>
      </c>
      <c r="C10" s="3" t="s">
        <v>27</v>
      </c>
      <c r="D10" s="3" t="s">
        <v>28</v>
      </c>
      <c r="E10" s="4">
        <v>5.75</v>
      </c>
      <c r="F10" s="14" t="s">
        <v>62</v>
      </c>
    </row>
    <row r="11" spans="1:6" x14ac:dyDescent="0.25">
      <c r="A11" s="2">
        <v>45938</v>
      </c>
      <c r="B11" s="3" t="s">
        <v>29</v>
      </c>
      <c r="C11" s="3" t="s">
        <v>30</v>
      </c>
      <c r="D11" s="3" t="s">
        <v>31</v>
      </c>
      <c r="E11" s="4">
        <v>32</v>
      </c>
      <c r="F11" s="14" t="s">
        <v>62</v>
      </c>
    </row>
    <row r="12" spans="1:6" x14ac:dyDescent="0.25">
      <c r="A12" s="2">
        <v>45940</v>
      </c>
      <c r="B12" s="3" t="s">
        <v>16</v>
      </c>
      <c r="C12" s="3" t="s">
        <v>17</v>
      </c>
      <c r="D12" s="3" t="s">
        <v>32</v>
      </c>
      <c r="E12" s="4">
        <v>45.1</v>
      </c>
      <c r="F12" s="14" t="s">
        <v>62</v>
      </c>
    </row>
    <row r="13" spans="1:6" x14ac:dyDescent="0.25">
      <c r="A13" s="2">
        <v>45941</v>
      </c>
      <c r="B13" s="3" t="s">
        <v>19</v>
      </c>
      <c r="C13" s="3" t="s">
        <v>33</v>
      </c>
      <c r="D13" s="3" t="s">
        <v>34</v>
      </c>
      <c r="E13" s="4">
        <v>10</v>
      </c>
      <c r="F13" s="14" t="s">
        <v>62</v>
      </c>
    </row>
    <row r="14" spans="1:6" x14ac:dyDescent="0.25">
      <c r="A14" s="2">
        <v>45942</v>
      </c>
      <c r="B14" s="3" t="s">
        <v>35</v>
      </c>
      <c r="C14" s="3" t="s">
        <v>36</v>
      </c>
      <c r="D14" s="3" t="s">
        <v>37</v>
      </c>
      <c r="E14" s="4">
        <v>28.5</v>
      </c>
      <c r="F14" s="14" t="s">
        <v>62</v>
      </c>
    </row>
    <row r="15" spans="1:6" x14ac:dyDescent="0.25">
      <c r="A15" s="2">
        <v>45944</v>
      </c>
      <c r="B15" s="3" t="s">
        <v>24</v>
      </c>
      <c r="C15" s="3" t="s">
        <v>38</v>
      </c>
      <c r="D15" s="3" t="s">
        <v>39</v>
      </c>
      <c r="E15" s="4">
        <v>89.99</v>
      </c>
      <c r="F15" s="14" t="s">
        <v>62</v>
      </c>
    </row>
    <row r="16" spans="1:6" x14ac:dyDescent="0.25">
      <c r="A16" s="2">
        <v>45945</v>
      </c>
      <c r="B16" s="3" t="s">
        <v>5</v>
      </c>
      <c r="C16" s="3" t="s">
        <v>6</v>
      </c>
      <c r="D16" s="3" t="s">
        <v>7</v>
      </c>
      <c r="E16" s="4">
        <v>2500</v>
      </c>
      <c r="F16" s="14" t="s">
        <v>5</v>
      </c>
    </row>
    <row r="17" spans="1:6" x14ac:dyDescent="0.25">
      <c r="A17" s="2">
        <v>45945</v>
      </c>
      <c r="B17" s="3" t="s">
        <v>5</v>
      </c>
      <c r="C17" s="3" t="s">
        <v>40</v>
      </c>
      <c r="D17" s="3" t="s">
        <v>41</v>
      </c>
      <c r="E17" s="4">
        <v>350</v>
      </c>
      <c r="F17" s="14" t="s">
        <v>5</v>
      </c>
    </row>
    <row r="18" spans="1:6" x14ac:dyDescent="0.25">
      <c r="A18" s="2">
        <v>45946</v>
      </c>
      <c r="B18" s="3" t="s">
        <v>16</v>
      </c>
      <c r="C18" s="3" t="s">
        <v>17</v>
      </c>
      <c r="D18" s="3" t="s">
        <v>18</v>
      </c>
      <c r="E18" s="4">
        <v>160.4</v>
      </c>
      <c r="F18" s="14" t="s">
        <v>62</v>
      </c>
    </row>
    <row r="19" spans="1:6" x14ac:dyDescent="0.25">
      <c r="A19" s="2">
        <v>45947</v>
      </c>
      <c r="B19" s="3" t="s">
        <v>42</v>
      </c>
      <c r="C19" s="3" t="s">
        <v>43</v>
      </c>
      <c r="D19" s="3" t="s">
        <v>44</v>
      </c>
      <c r="E19" s="4">
        <v>15</v>
      </c>
      <c r="F19" s="14" t="s">
        <v>62</v>
      </c>
    </row>
    <row r="20" spans="1:6" x14ac:dyDescent="0.25">
      <c r="A20" s="2">
        <v>45948</v>
      </c>
      <c r="B20" s="3" t="s">
        <v>19</v>
      </c>
      <c r="C20" s="3" t="s">
        <v>20</v>
      </c>
      <c r="D20" s="3" t="s">
        <v>21</v>
      </c>
      <c r="E20" s="4">
        <v>55.3</v>
      </c>
      <c r="F20" s="14" t="s">
        <v>62</v>
      </c>
    </row>
    <row r="21" spans="1:6" x14ac:dyDescent="0.25">
      <c r="A21" s="2">
        <v>45949</v>
      </c>
      <c r="B21" s="3" t="s">
        <v>16</v>
      </c>
      <c r="C21" s="3" t="s">
        <v>22</v>
      </c>
      <c r="D21" s="3" t="s">
        <v>45</v>
      </c>
      <c r="E21" s="4">
        <v>68</v>
      </c>
      <c r="F21" s="14" t="s">
        <v>62</v>
      </c>
    </row>
    <row r="22" spans="1:6" x14ac:dyDescent="0.25">
      <c r="A22" s="2">
        <v>45950</v>
      </c>
      <c r="B22" s="3" t="s">
        <v>24</v>
      </c>
      <c r="C22" s="3" t="s">
        <v>27</v>
      </c>
      <c r="D22" s="3" t="s">
        <v>28</v>
      </c>
      <c r="E22" s="4">
        <v>5.75</v>
      </c>
      <c r="F22" s="14" t="s">
        <v>62</v>
      </c>
    </row>
    <row r="23" spans="1:6" x14ac:dyDescent="0.25">
      <c r="A23" s="2">
        <v>45951</v>
      </c>
      <c r="B23" s="3" t="s">
        <v>29</v>
      </c>
      <c r="C23" s="3" t="s">
        <v>46</v>
      </c>
      <c r="D23" s="3" t="s">
        <v>47</v>
      </c>
      <c r="E23" s="4">
        <v>110</v>
      </c>
      <c r="F23" s="14" t="s">
        <v>62</v>
      </c>
    </row>
    <row r="24" spans="1:6" x14ac:dyDescent="0.25">
      <c r="A24" s="2">
        <v>45952</v>
      </c>
      <c r="B24" s="3" t="s">
        <v>24</v>
      </c>
      <c r="C24" s="3" t="s">
        <v>25</v>
      </c>
      <c r="D24" s="3" t="s">
        <v>48</v>
      </c>
      <c r="E24" s="4">
        <v>10.99</v>
      </c>
      <c r="F24" s="14" t="s">
        <v>62</v>
      </c>
    </row>
    <row r="25" spans="1:6" x14ac:dyDescent="0.25">
      <c r="A25" s="2">
        <v>45953</v>
      </c>
      <c r="B25" s="3" t="s">
        <v>16</v>
      </c>
      <c r="C25" s="3" t="s">
        <v>17</v>
      </c>
      <c r="D25" s="3" t="s">
        <v>49</v>
      </c>
      <c r="E25" s="4">
        <v>90.2</v>
      </c>
      <c r="F25" s="14" t="s">
        <v>62</v>
      </c>
    </row>
    <row r="26" spans="1:6" x14ac:dyDescent="0.25">
      <c r="A26" s="2">
        <v>45954</v>
      </c>
      <c r="B26" s="3" t="s">
        <v>19</v>
      </c>
      <c r="C26" s="3" t="s">
        <v>50</v>
      </c>
      <c r="D26" s="3" t="s">
        <v>51</v>
      </c>
      <c r="E26" s="4">
        <v>70</v>
      </c>
      <c r="F26" s="14" t="s">
        <v>62</v>
      </c>
    </row>
    <row r="27" spans="1:6" x14ac:dyDescent="0.25">
      <c r="A27" s="2">
        <v>45955</v>
      </c>
      <c r="B27" s="3" t="s">
        <v>35</v>
      </c>
      <c r="C27" s="3" t="s">
        <v>52</v>
      </c>
      <c r="D27" s="3" t="s">
        <v>53</v>
      </c>
      <c r="E27" s="4">
        <v>45</v>
      </c>
      <c r="F27" s="14" t="s">
        <v>62</v>
      </c>
    </row>
    <row r="28" spans="1:6" x14ac:dyDescent="0.25">
      <c r="A28" s="2">
        <v>45957</v>
      </c>
      <c r="B28" s="3" t="s">
        <v>16</v>
      </c>
      <c r="C28" s="3" t="s">
        <v>22</v>
      </c>
      <c r="D28" s="3" t="s">
        <v>54</v>
      </c>
      <c r="E28" s="4">
        <v>150</v>
      </c>
      <c r="F28" s="14" t="s">
        <v>62</v>
      </c>
    </row>
    <row r="29" spans="1:6" x14ac:dyDescent="0.25">
      <c r="A29" s="2">
        <v>45958</v>
      </c>
      <c r="B29" s="3" t="s">
        <v>24</v>
      </c>
      <c r="C29" s="3" t="s">
        <v>38</v>
      </c>
      <c r="D29" s="3" t="s">
        <v>55</v>
      </c>
      <c r="E29" s="4">
        <v>210.15</v>
      </c>
      <c r="F29" s="14" t="s">
        <v>62</v>
      </c>
    </row>
    <row r="30" spans="1:6" x14ac:dyDescent="0.25">
      <c r="A30" s="2">
        <v>45960</v>
      </c>
      <c r="B30" s="3" t="s">
        <v>56</v>
      </c>
      <c r="C30" s="3" t="s">
        <v>57</v>
      </c>
      <c r="D30" s="3" t="s">
        <v>58</v>
      </c>
      <c r="E30" s="4">
        <v>500</v>
      </c>
      <c r="F30" s="14" t="s">
        <v>62</v>
      </c>
    </row>
  </sheetData>
  <dataValidations count="2">
    <dataValidation type="custom" allowBlank="1" showDropDown="1" sqref="A2:A30" xr:uid="{00000000-0002-0000-0000-000000000000}">
      <formula1>OR(NOT(ISERROR(DATEVALUE(A2))), AND(ISNUMBER(A2), LEFT(CELL("format", A2))="D"))</formula1>
    </dataValidation>
    <dataValidation type="custom" allowBlank="1" showDropDown="1" sqref="E2:E30" xr:uid="{00000000-0002-0000-0000-000001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9BD4-229D-4547-A750-934652420D19}">
  <dimension ref="A2:I37"/>
  <sheetViews>
    <sheetView topLeftCell="A4" workbookViewId="0">
      <selection activeCell="O31" sqref="O31"/>
    </sheetView>
  </sheetViews>
  <sheetFormatPr defaultRowHeight="13.2" x14ac:dyDescent="0.25"/>
  <cols>
    <col min="1" max="1" width="13.5546875" bestFit="1" customWidth="1"/>
    <col min="2" max="3" width="9.109375" bestFit="1" customWidth="1"/>
    <col min="4" max="5" width="10.33203125" bestFit="1" customWidth="1"/>
    <col min="6" max="6" width="13.5546875" bestFit="1" customWidth="1"/>
    <col min="7" max="7" width="8" bestFit="1" customWidth="1"/>
    <col min="8" max="8" width="7" bestFit="1" customWidth="1"/>
    <col min="9" max="9" width="10.33203125" bestFit="1" customWidth="1"/>
  </cols>
  <sheetData>
    <row r="2" spans="1:9" x14ac:dyDescent="0.25">
      <c r="A2" s="19" t="s">
        <v>63</v>
      </c>
      <c r="B2" s="19"/>
      <c r="C2" s="19"/>
      <c r="F2" s="19" t="s">
        <v>65</v>
      </c>
      <c r="G2" s="19"/>
    </row>
    <row r="3" spans="1:9" s="13" customFormat="1" x14ac:dyDescent="0.25">
      <c r="A3" s="7" t="s">
        <v>60</v>
      </c>
      <c r="B3" s="15" t="s">
        <v>61</v>
      </c>
      <c r="C3"/>
      <c r="D3"/>
      <c r="F3" s="7" t="s">
        <v>60</v>
      </c>
      <c r="G3" s="15" t="s">
        <v>61</v>
      </c>
      <c r="H3"/>
      <c r="I3"/>
    </row>
    <row r="4" spans="1:9" x14ac:dyDescent="0.25">
      <c r="A4" s="7" t="s">
        <v>1</v>
      </c>
      <c r="B4" s="6" t="s">
        <v>62</v>
      </c>
      <c r="F4" s="7" t="s">
        <v>2</v>
      </c>
      <c r="G4" s="6" t="s">
        <v>62</v>
      </c>
    </row>
    <row r="5" spans="1:9" x14ac:dyDescent="0.25">
      <c r="A5" s="5" t="s">
        <v>29</v>
      </c>
      <c r="B5" s="8">
        <v>142</v>
      </c>
      <c r="F5" s="5" t="s">
        <v>50</v>
      </c>
      <c r="G5" s="16">
        <v>70</v>
      </c>
    </row>
    <row r="6" spans="1:9" x14ac:dyDescent="0.25">
      <c r="A6" s="9" t="s">
        <v>16</v>
      </c>
      <c r="B6" s="10">
        <v>716.9</v>
      </c>
      <c r="F6" s="9" t="s">
        <v>27</v>
      </c>
      <c r="G6" s="18">
        <v>11.5</v>
      </c>
    </row>
    <row r="7" spans="1:9" x14ac:dyDescent="0.25">
      <c r="A7" s="9" t="s">
        <v>42</v>
      </c>
      <c r="B7" s="10">
        <v>15</v>
      </c>
      <c r="F7" s="9" t="s">
        <v>46</v>
      </c>
      <c r="G7" s="18">
        <v>110</v>
      </c>
    </row>
    <row r="8" spans="1:9" x14ac:dyDescent="0.25">
      <c r="A8" s="9" t="s">
        <v>35</v>
      </c>
      <c r="B8" s="10">
        <v>73.5</v>
      </c>
      <c r="F8" s="9" t="s">
        <v>22</v>
      </c>
      <c r="G8" s="18">
        <v>236</v>
      </c>
    </row>
    <row r="9" spans="1:9" x14ac:dyDescent="0.25">
      <c r="A9" s="9" t="s">
        <v>8</v>
      </c>
      <c r="B9" s="10">
        <v>1200</v>
      </c>
      <c r="F9" s="9" t="s">
        <v>12</v>
      </c>
      <c r="G9" s="18">
        <v>75.5</v>
      </c>
    </row>
    <row r="10" spans="1:9" x14ac:dyDescent="0.25">
      <c r="A10" s="9" t="s">
        <v>24</v>
      </c>
      <c r="B10" s="10">
        <v>339.62</v>
      </c>
      <c r="F10" s="9" t="s">
        <v>20</v>
      </c>
      <c r="G10" s="18">
        <v>107.3</v>
      </c>
    </row>
    <row r="11" spans="1:9" x14ac:dyDescent="0.25">
      <c r="A11" s="9" t="s">
        <v>56</v>
      </c>
      <c r="B11" s="10">
        <v>500</v>
      </c>
      <c r="F11" s="9" t="s">
        <v>17</v>
      </c>
      <c r="G11" s="18">
        <v>480.9</v>
      </c>
    </row>
    <row r="12" spans="1:9" x14ac:dyDescent="0.25">
      <c r="A12" s="9" t="s">
        <v>19</v>
      </c>
      <c r="B12" s="10">
        <v>187.3</v>
      </c>
      <c r="F12" s="9" t="s">
        <v>14</v>
      </c>
      <c r="G12" s="18">
        <v>60</v>
      </c>
    </row>
    <row r="13" spans="1:9" x14ac:dyDescent="0.25">
      <c r="A13" s="9" t="s">
        <v>11</v>
      </c>
      <c r="B13" s="10">
        <v>135.5</v>
      </c>
      <c r="F13" s="9" t="s">
        <v>30</v>
      </c>
      <c r="G13" s="18">
        <v>32</v>
      </c>
    </row>
    <row r="14" spans="1:9" x14ac:dyDescent="0.25">
      <c r="A14" s="11" t="s">
        <v>59</v>
      </c>
      <c r="B14" s="12">
        <v>3309.82</v>
      </c>
      <c r="F14" s="9" t="s">
        <v>52</v>
      </c>
      <c r="G14" s="18">
        <v>45</v>
      </c>
    </row>
    <row r="15" spans="1:9" x14ac:dyDescent="0.25">
      <c r="F15" s="9" t="s">
        <v>43</v>
      </c>
      <c r="G15" s="18">
        <v>15</v>
      </c>
    </row>
    <row r="16" spans="1:9" x14ac:dyDescent="0.25">
      <c r="F16" s="9" t="s">
        <v>33</v>
      </c>
      <c r="G16" s="18">
        <v>10</v>
      </c>
    </row>
    <row r="17" spans="1:7" x14ac:dyDescent="0.25">
      <c r="F17" s="9" t="s">
        <v>9</v>
      </c>
      <c r="G17" s="18">
        <v>1200</v>
      </c>
    </row>
    <row r="18" spans="1:7" x14ac:dyDescent="0.25">
      <c r="F18" s="9" t="s">
        <v>38</v>
      </c>
      <c r="G18" s="18">
        <v>300.14</v>
      </c>
    </row>
    <row r="19" spans="1:7" x14ac:dyDescent="0.25">
      <c r="F19" s="9" t="s">
        <v>25</v>
      </c>
      <c r="G19" s="18">
        <v>27.979999999999997</v>
      </c>
    </row>
    <row r="20" spans="1:7" x14ac:dyDescent="0.25">
      <c r="F20" s="9" t="s">
        <v>36</v>
      </c>
      <c r="G20" s="18">
        <v>28.5</v>
      </c>
    </row>
    <row r="21" spans="1:7" x14ac:dyDescent="0.25">
      <c r="F21" s="9" t="s">
        <v>57</v>
      </c>
      <c r="G21" s="18">
        <v>500</v>
      </c>
    </row>
    <row r="22" spans="1:7" x14ac:dyDescent="0.25">
      <c r="F22" s="11" t="s">
        <v>59</v>
      </c>
      <c r="G22" s="17">
        <v>3309.8199999999997</v>
      </c>
    </row>
    <row r="24" spans="1:7" x14ac:dyDescent="0.25">
      <c r="A24" s="20" t="s">
        <v>64</v>
      </c>
      <c r="B24" s="20"/>
    </row>
    <row r="25" spans="1:7" x14ac:dyDescent="0.25">
      <c r="E25" s="19" t="s">
        <v>66</v>
      </c>
      <c r="F25" s="19"/>
    </row>
    <row r="26" spans="1:7" x14ac:dyDescent="0.25">
      <c r="A26" s="7" t="s">
        <v>1</v>
      </c>
      <c r="B26" s="6" t="s">
        <v>60</v>
      </c>
      <c r="E26" s="7" t="s">
        <v>61</v>
      </c>
      <c r="F26" s="6" t="s">
        <v>60</v>
      </c>
    </row>
    <row r="27" spans="1:7" x14ac:dyDescent="0.25">
      <c r="A27" s="5" t="s">
        <v>29</v>
      </c>
      <c r="B27" s="8">
        <v>142</v>
      </c>
      <c r="E27" s="5" t="s">
        <v>62</v>
      </c>
      <c r="F27" s="16">
        <v>3309.8199999999997</v>
      </c>
    </row>
    <row r="28" spans="1:7" x14ac:dyDescent="0.25">
      <c r="A28" s="9" t="s">
        <v>16</v>
      </c>
      <c r="B28" s="10">
        <v>716.9</v>
      </c>
      <c r="E28" s="9" t="s">
        <v>5</v>
      </c>
      <c r="F28" s="18">
        <v>5350</v>
      </c>
    </row>
    <row r="29" spans="1:7" x14ac:dyDescent="0.25">
      <c r="A29" s="9" t="s">
        <v>42</v>
      </c>
      <c r="B29" s="10">
        <v>15</v>
      </c>
      <c r="E29" s="11" t="s">
        <v>59</v>
      </c>
      <c r="F29" s="17">
        <v>8659.82</v>
      </c>
    </row>
    <row r="30" spans="1:7" x14ac:dyDescent="0.25">
      <c r="A30" s="9" t="s">
        <v>35</v>
      </c>
      <c r="B30" s="10">
        <v>73.5</v>
      </c>
    </row>
    <row r="31" spans="1:7" x14ac:dyDescent="0.25">
      <c r="A31" s="9" t="s">
        <v>8</v>
      </c>
      <c r="B31" s="10">
        <v>1200</v>
      </c>
    </row>
    <row r="32" spans="1:7" x14ac:dyDescent="0.25">
      <c r="A32" s="9" t="s">
        <v>5</v>
      </c>
      <c r="B32" s="10">
        <v>5350</v>
      </c>
    </row>
    <row r="33" spans="1:2" x14ac:dyDescent="0.25">
      <c r="A33" s="9" t="s">
        <v>24</v>
      </c>
      <c r="B33" s="10">
        <v>339.62</v>
      </c>
    </row>
    <row r="34" spans="1:2" x14ac:dyDescent="0.25">
      <c r="A34" s="9" t="s">
        <v>56</v>
      </c>
      <c r="B34" s="10">
        <v>500</v>
      </c>
    </row>
    <row r="35" spans="1:2" x14ac:dyDescent="0.25">
      <c r="A35" s="9" t="s">
        <v>19</v>
      </c>
      <c r="B35" s="10">
        <v>187.3</v>
      </c>
    </row>
    <row r="36" spans="1:2" x14ac:dyDescent="0.25">
      <c r="A36" s="9" t="s">
        <v>11</v>
      </c>
      <c r="B36" s="10">
        <v>135.5</v>
      </c>
    </row>
    <row r="37" spans="1:2" x14ac:dyDescent="0.25">
      <c r="A37" s="11" t="s">
        <v>59</v>
      </c>
      <c r="B37" s="12">
        <v>8659.82</v>
      </c>
    </row>
  </sheetData>
  <mergeCells count="4">
    <mergeCell ref="A2:C2"/>
    <mergeCell ref="A24:B24"/>
    <mergeCell ref="F2:G2"/>
    <mergeCell ref="E25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62DA-00D8-429D-BDA9-9CBE09BC5364}">
  <dimension ref="B2:O2"/>
  <sheetViews>
    <sheetView tabSelected="1" topLeftCell="A7" workbookViewId="0">
      <selection activeCell="W20" sqref="W20"/>
    </sheetView>
  </sheetViews>
  <sheetFormatPr defaultRowHeight="13.2" x14ac:dyDescent="0.25"/>
  <cols>
    <col min="1" max="16384" width="8.88671875" style="22"/>
  </cols>
  <sheetData>
    <row r="2" spans="2:15" ht="32.4" x14ac:dyDescent="0.55000000000000004">
      <c r="B2" s="21" t="s">
        <v>67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</sheetData>
  <mergeCells count="1">
    <mergeCell ref="B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Anuja Mathew</cp:lastModifiedBy>
  <dcterms:modified xsi:type="dcterms:W3CDTF">2025-11-06T06:14:40Z</dcterms:modified>
</cp:coreProperties>
</file>